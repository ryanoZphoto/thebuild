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<sst xmlns="http://schemas.openxmlformats.org/spreadsheetml/2006/main" count="80" uniqueCount="73">
  <si>
    <t>brand</t>
  </si>
  <si>
    <r>
      <t/>
    </r>
    <r>
      <rPr>
        <sz val="9"/>
        <color rgb="FFe51919"/>
        <rFont val="Arial"/>
        <family val="2"/>
      </rPr>
      <t>Required</t>
    </r>
    <r>
      <rPr>
        <sz val="9"/>
        <color rgb="FF191919"/>
        <rFont val="Arial"/>
        <family val="2"/>
      </rPr>
      <t xml:space="preserve">
Your product's unique ID
Tip: Enter a unique ID to help Google distinguish each product from the others. Use SKUs as your IDs where possible.</t>
    </r>
  </si>
  <si>
    <r>
      <t/>
    </r>
    <r>
      <rPr>
        <sz val="9"/>
        <color rgb="FFe51919"/>
        <rFont val="Arial"/>
        <family val="2"/>
      </rPr>
      <t>Required</t>
    </r>
    <r>
      <rPr>
        <sz val="9"/>
        <color rgb="FF191919"/>
        <rFont val="Arial"/>
        <family val="2"/>
      </rPr>
      <t xml:space="preserve">
Your product's title
Up to 150 characters
Tip: Clearly identify what you're selling. A specific and accurate title can help Google show your product to the right customers.</t>
    </r>
  </si>
  <si>
    <r>
      <t/>
    </r>
    <r>
      <rPr>
        <sz val="9"/>
        <color rgb="FFe51919"/>
        <rFont val="Arial"/>
        <family val="2"/>
      </rPr>
      <t>Required</t>
    </r>
    <r>
      <rPr>
        <sz val="9"/>
        <color rgb="FF191919"/>
        <rFont val="Arial"/>
        <family val="2"/>
      </rPr>
      <t xml:space="preserve">
Your product's decription
Up to 200 characters
Tip: List the most important details about your product. Use bullets and paragraphs to make the description easy to read for customers.</t>
    </r>
  </si>
  <si>
    <r>
      <t/>
    </r>
    <r>
      <rPr>
        <sz val="9"/>
        <color rgb="FFe51919"/>
        <rFont val="Arial"/>
        <family val="2"/>
      </rPr>
      <t>Required</t>
    </r>
    <r>
      <rPr>
        <sz val="9"/>
        <color rgb="FF191919"/>
        <rFont val="Arial"/>
        <family val="2"/>
      </rPr>
      <t xml:space="preserve">
Your product's availability
Tip: tell customers whether you have your product or not. Enter one of the following: "in_stock", "out_of_stock", "preorder", "backorder".</t>
    </r>
  </si>
  <si>
    <t>Required if availability is "preorder" or "backorder"
The date, with time and timezone, on which a preordered or backordered product becomes available for delivery
Tip: enter the date in one of the following formats: YYYY-MM-DDThh:mm[±hhmm] or YYYY-MM-DDThh:mmZ</t>
  </si>
  <si>
    <t>Optional
The date, with time and time zone, on which your product should stop showing
Tip: enter the date in one of the following formats: YYYY-MM-DDThh:mm[±hhmm] or YYYY-MM-DDThh:mmZ</t>
  </si>
  <si>
    <r>
      <t/>
    </r>
    <r>
      <rPr>
        <sz val="9"/>
        <color rgb="FFe51919"/>
        <rFont val="Arial"/>
        <family val="2"/>
      </rPr>
      <t>Required</t>
    </r>
    <r>
      <rPr>
        <sz val="9"/>
        <color rgb="FF191919"/>
        <rFont val="Arial"/>
        <family val="2"/>
      </rPr>
      <t xml:space="preserve">
Your product's landing page link
Tip: provide a link that will allow customers to open a landing page on your website for that product</t>
    </r>
  </si>
  <si>
    <t>Optional
Your product's mobile-optimised landing page link
Tip: use when you have a different link pointing to your mobile and desktop</t>
  </si>
  <si>
    <r>
      <t/>
    </r>
    <r>
      <rPr>
        <sz val="9"/>
        <color rgb="FFe51919"/>
        <rFont val="Arial"/>
        <family val="2"/>
      </rPr>
      <t>Required</t>
    </r>
    <r>
      <rPr>
        <sz val="9"/>
        <color rgb="FF191919"/>
        <rFont val="Arial"/>
        <family val="2"/>
      </rPr>
      <t xml:space="preserve">
The link pointing to your product's main image
Tip: make sure that your image is available in one of the following formats: JPEG (.jpg/.jpeg), WebP (.webp), PNG (.png), GIF (.gif), BMP (.bmp), TIFF (.tif/.tiff)</t>
    </r>
  </si>
  <si>
    <r>
      <t/>
    </r>
    <r>
      <rPr>
        <sz val="9"/>
        <color rgb="FFe51919"/>
        <rFont val="Arial"/>
        <family val="2"/>
      </rPr>
      <t>Required</t>
    </r>
    <r>
      <rPr>
        <sz val="9"/>
        <color rgb="FF191919"/>
        <rFont val="Arial"/>
        <family val="2"/>
      </rPr>
      <t xml:space="preserve">
Your product's price
Your product's price</t>
    </r>
  </si>
  <si>
    <t>Optional
Your product's price during a sale
Tip: make sure that your sale price includes the currency code such as USD, CAD, EUR, GBP (as specified in ISO 4217)</t>
  </si>
  <si>
    <t>Optional
The date range, with time and time zone, during which the product's sale price applies
Tip: enter a start date and an end date in the one of the following formats: YYYY-MM-DDThh:mm[±hhmm] or YYYY-MM-DDThh:mmZ, separated by slash ( / )</t>
  </si>
  <si>
    <r>
      <t/>
    </r>
    <r>
      <rPr>
        <sz val="9"/>
        <color rgb="FFe51919"/>
        <rFont val="Arial"/>
        <family val="2"/>
      </rPr>
      <t>Required</t>
    </r>
    <r>
      <rPr>
        <sz val="9"/>
        <color rgb="FF191919"/>
        <rFont val="Arial"/>
        <family val="2"/>
      </rPr>
      <t xml:space="preserve">
Indicates that your product has a unique identification number such as GTIN, MPN, UPC, EAN, JAN, or ISBN
Tip: enter one of the following: "yes", "no". You might not have a unique identification number if you sell products such as flowers, bouquets, gift baskets, or handmade goods.</t>
    </r>
  </si>
  <si>
    <r>
      <t/>
    </r>
    <r>
      <rPr>
        <sz val="9"/>
        <color rgb="FFe51919"/>
        <rFont val="Arial"/>
        <family val="2"/>
      </rPr>
      <t>Required if your product has a manufacturer-assigned identification number known as GTIN</t>
    </r>
    <r>
      <rPr>
        <sz val="9"/>
        <color rgb="FF191919"/>
        <rFont val="Arial"/>
        <family val="2"/>
      </rPr>
      <t xml:space="preserve">
Your product's Global Trade Item Number (GTIN)
Tip: you can use UPC (12 digits), EAN (13 digits), JAN (8 or 13 digits), ISBN (10 or 13 digits), or ITF-14 (14 digits) as your GTIN too. Not required if you sell products that don't have GTINs such as flowers, bouquets, gift baskets, or handmade goods.</t>
    </r>
  </si>
  <si>
    <r>
      <t/>
    </r>
    <r>
      <rPr>
        <sz val="9"/>
        <color rgb="FFe51919"/>
        <rFont val="Arial"/>
        <family val="2"/>
      </rPr>
      <t>Required if your product has a manufacturer-assigned identification number known as MPN</t>
    </r>
    <r>
      <rPr>
        <sz val="9"/>
        <color rgb="FF191919"/>
        <rFont val="Arial"/>
        <family val="2"/>
      </rPr>
      <t xml:space="preserve">
Your product's Manufacturer Part Number (MPN)
Tip: if you're a manufacturer, your MPN can be identical to your SKU. Not required if you sell products that don't have MPNs such as flowers, bouquets, gift baskets, or handmade goods.</t>
    </r>
  </si>
  <si>
    <r>
      <t/>
    </r>
    <r>
      <rPr>
        <sz val="9"/>
        <color rgb="FFe51919"/>
        <rFont val="Arial"/>
        <family val="2"/>
      </rPr>
      <t>Required</t>
    </r>
    <r>
      <rPr>
        <sz val="9"/>
        <color rgb="FF191919"/>
        <rFont val="Arial"/>
        <family val="2"/>
      </rPr>
      <t xml:space="preserve">
Your product's brand name
Tip: use the brand name of the product that customers generally will recognize</t>
    </r>
  </si>
  <si>
    <t>Optional but beneficial
The most relevant highlights of your products
Up to 150 characters
Tip: include as many highlights as possible to help customers scan sentence fragments that answer the most common questions or that call out the most important aspects of the product</t>
  </si>
  <si>
    <t>Optional but beneficial
Technical specifications or additional details of your product
Tip: include as many details as possible to help answer any questions customers might have about your product. Enter your details in the following format: "section_name: attribute_name: attribute_value".</t>
  </si>
  <si>
    <t>Optional but beneficial
The link pointing to your product's additional images
Tip: use to show your product from different angles or in use. Additional images are often critical for customers to understand what the product looks like. The same formats apply as for the main image.</t>
  </si>
  <si>
    <t>Required if your product is used or refurbished
The condition of your product at time of sale
Tip: enter one of the following: "new", "refurbished", "used"</t>
  </si>
  <si>
    <t>Required if a product contains adult content
Indicates that your product includes sexually suggestive content
Tip: enter one of the following: "yes", "no"</t>
  </si>
  <si>
    <t>Required for apparel products
Your product's colour
Tip: use for electronics, home goods, appliances, and anything that differentiates by color. If your product is made up of several colours, you can specify 1 primary colour followed by up to 2 secondary colours that are each separated by a slash (/).
For example: Red/Green/Black</t>
  </si>
  <si>
    <t>Required for apparel products
Your product's size
Tip: use for electronics, home goods, sporting goods, or apparel if you want your product to appear in results that are filtered by size. Enter a single size per product.</t>
  </si>
  <si>
    <t>Optional
Your clothing product's cut
Tip: enter one of the following: "regular", "petite", "plus", "tall", "big", "maternity"</t>
  </si>
  <si>
    <t>Optional
The country of the size system used by your product
Tip: use to help customers narrow search results. Enter one of the following: "AU","BR","CN" (China), "DE","EU","FR", "IT", "JP", "MEX", "UK", "GB".</t>
  </si>
  <si>
    <t>Required for apparel products
The gender for which your product is intended
Tip: enter one of the following: "female", "male", "unisex"</t>
  </si>
  <si>
    <t>Required for apparel &amp; distinguishing different products
Your product's fabric or material
Tip: describe the main fabric or material that your product is made of</t>
  </si>
  <si>
    <t>Required for apparel &amp; distinguishing different products
Your product's pattern or graphic print
Up to 200 characters
Tip: use to help customers narrow search results</t>
  </si>
  <si>
    <t>Required for apparel &amp; toys
The demographic for which your product is intended
Tip: enter one of the following: "newborn", "infant", "toddler", "children", "adult"</t>
  </si>
  <si>
    <t>Required for products sold in Australia, Brazil, Czechia, France, Germany, Italy, Japan, the Netherlands, Spain, Switzerland, the UK, or the US
The number of identical products sold within a merchant-defined multipack
For example: one multipack could consist of 3 packages containing 4 manufacturer-packed pens each</t>
  </si>
  <si>
    <t>Required for products sold in Australia, Brazil, Czechia, France, Germany, Italy, Japan, the Netherlands, Spain, Switzerland, the UK, or the US
Indicates that your product is a merchant-defined custom group of different products featuring one main product
Tip: enter one of the following: "yes", "no"
For example: a video console (main product) with 3 video games could be a bundle</t>
  </si>
  <si>
    <t>Required for special country regulations
The measure and dimension of your product as it is sold
Tip: enter the measure in the following format: a number with a unit such as oz, lb, mg, g, kg, floz, pt, qt, gal, ml, cl, l, cbm, in, ft, yd, cm, m, sqft, sqm, or ct
For example: 750 ml</t>
  </si>
  <si>
    <t>Required for special country regulations
The product's unit base measure for pricing
Tip: enter the unit measure in the following format: a number with a unit such as oz, lb, mg, g, kg, floz, pt, qt, gal, ml, cl, l, cbm, in, ft, yd, cm, m, sqft, sqm, or ct
For example: 100 ml, which means that the price is calculated based on a unit of 100 ml</t>
  </si>
  <si>
    <t>Required for special country regulations
Your product's energy label
Tip: enter one of the following: "A+++", "A++", "A+", "A", "B", "C", "D", "E", "F", "G"</t>
  </si>
  <si>
    <t>Required for special country regulations
Your product's minimum energy class
Tip: enter one of the following: "A+++", "A++", "A+", "A", "B", "C", "D", "E", "F", "G"</t>
  </si>
  <si>
    <t>Required for special country regulations
Your product's maximum energy class
Tip: enter one of the following: "A+++", "A++", "A+", "A", "B", "C", "D", "E", "F", "G"</t>
  </si>
  <si>
    <t>Required for products sold in Brazil, France, Germany, Japan, the UK, or the US &amp; being a variant
The ID for a group of products that come in different versions (variants)
Tip: use to group your product and its variants to show them together to customers. Use parent SKUs as your group IDs where possible.</t>
  </si>
  <si>
    <t>Required for Buy on Google
The total number of your product available to sell
Tip: use to indicate how many units of your product you want to sell "on Google"</t>
  </si>
  <si>
    <t>A3B5</t>
  </si>
  <si>
    <t>Toddler Girl's Google Brand Organic Cotton Sweatshirt in Bright Blue Size 18 months</t>
  </si>
  <si>
    <t>Keep your sweet darling warm in fun, fluttery style with this Zip-Up Hoodie Sweatshirt from Google. Crafted from a breathable fabric, this long-sleeve sweatshirt provides soft and cozy comfort to help their breeze through their busy day.</t>
  </si>
  <si>
    <t>in_stock</t>
  </si>
  <si>
    <t>http://www.example.com/asp/sp.asp?cat=12&amp;id=1030</t>
  </si>
  <si>
    <t>http://www.example.com/image1.jpg</t>
  </si>
  <si>
    <t>8.50 USD</t>
  </si>
  <si>
    <t>no</t>
  </si>
  <si>
    <t>"Fashionable lightweight around town sweater", "Easy-dry organic cotton fleece", "Sublimated print for vibrant colors"</t>
  </si>
  <si>
    <t>Sustainability:material:organic</t>
  </si>
  <si>
    <t>https://static.awesomebrand.com/1111_100-1.jpg,https://static.awesomebrand.com/1111_100-2.jpg,</t>
  </si>
  <si>
    <t>new</t>
  </si>
  <si>
    <t>Bright Blue</t>
  </si>
  <si>
    <t>18M</t>
  </si>
  <si>
    <t>female</t>
  </si>
  <si>
    <t>60% Cotton 40% Recycled Polyester</t>
  </si>
  <si>
    <t>Butterflies</t>
  </si>
  <si>
    <t>toddler</t>
  </si>
  <si>
    <t>6429416</t>
  </si>
  <si>
    <t>Google Brand - 70" Class 7 Series LED 4K UHD Smart Tizen TV</t>
  </si>
  <si>
    <t>Enhance your viewing experience with this 70-inch Google 4K UHD smart TV. The HDR technology and 4K UHD resolution render sharp details and realistic colors, while a Crystal processor delivers exceptional picture quality on the flat-panel display. This Bluetooth-enabled Google 4K UHD smart TV is voice controllable for hands-free operation and seamless wireless streaming.</t>
  </si>
  <si>
    <t>http://www.example.com/image2.jpg</t>
  </si>
  <si>
    <t>699.99 USD</t>
  </si>
  <si>
    <t>yes</t>
  </si>
  <si>
    <t>853764007422</t>
  </si>
  <si>
    <t>GOOG70TU7000</t>
  </si>
  <si>
    <t>"New Display LED", "Resolution 4K (2160p)"</t>
  </si>
  <si>
    <t>"Display Type:LED:new", "Display:Resolution:4K (2160p)"</t>
  </si>
  <si>
    <t>Titan Gray</t>
  </si>
  <si>
    <t>70"</t>
  </si>
  <si>
    <t>3</t>
  </si>
  <si>
    <t>1.5 kg</t>
  </si>
  <si>
    <t>100 g</t>
  </si>
  <si>
    <t>Delete the rows that contain descriptions, instructions and examples from 2 to 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</si>
</sst>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u/>
      <sz val="11"/>
      <color rgb="FF0000ff"/>
      <name val="Calibri"/>
      <family val="2"/>
    </font>
    <font>
      <sz val="11"/>
      <color rgb="FF000000"/>
      <name val="Arial"/>
      <family val="2"/>
    </font>
    <font>
      <sz val="9"/>
      <color rgb="FF000000"/>
      <name val="Arial"/>
      <family val="2"/>
    </font>
    <font>
      <sz val="11"/>
      <color rgb="FF000000"/>
      <name val="Arial"/>
      <family val="2"/>
    </font>
  </fonts>
  <fills count="5">
    <fill>
      <patternFill patternType="none"/>
    </fill>
    <fill>
      <patternFill patternType="gray125"/>
    </fill>
    <fill>
      <patternFill patternType="solid">
        <fgColor rgb="FFd9d9d9"/>
      </patternFill>
    </fill>
    <fill>
      <patternFill patternType="solid">
        <fgColor rgb="FFeeeeee"/>
      </patternFill>
    </fill>
    <fill>
      <patternFill patternType="solid">
        <fgColor rgb="FFe4ecf9"/>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9">
    <xf xfId="0" numFmtId="0" borderId="0" fontId="0" fillId="0"/>
    <xf xfId="0" numFmtId="0" borderId="1" applyBorder="1" fontId="1" applyFont="1" fillId="2" applyFill="1" applyAlignment="1">
      <alignment horizontal="left"/>
    </xf>
    <xf xfId="0" numFmtId="0" borderId="1" applyBorder="1" fontId="2" applyFont="1" fillId="2" applyFill="1" applyAlignment="1">
      <alignment horizontal="left"/>
    </xf>
    <xf xfId="0" numFmtId="0" borderId="0" fontId="0" fillId="0" applyAlignment="1">
      <alignment wrapText="1"/>
    </xf>
    <xf xfId="0" numFmtId="0" borderId="1" applyBorder="1" fontId="3" applyFont="1" fillId="3" applyFill="1" applyAlignment="1">
      <alignment horizontal="left" wrapText="1"/>
    </xf>
    <xf xfId="0" numFmtId="0" borderId="1" applyBorder="1" fontId="3" applyFont="1" fillId="4" applyFill="1" applyAlignment="1">
      <alignment horizontal="left" wrapText="1"/>
    </xf>
    <xf xfId="0" numFmtId="0" borderId="2" applyBorder="1" fontId="4"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55"/>
  <sheetViews>
    <sheetView workbookViewId="0" tabSelected="1"/>
  </sheetViews>
  <sheetFormatPr defaultRowHeight="15" x14ac:dyDescent="0.25"/>
  <cols>
    <col min="1" max="1" style="8" width="25.14785714285714" customWidth="1" bestFit="1"/>
    <col min="2" max="2" style="8" width="25.14785714285714" customWidth="1" bestFit="1"/>
    <col min="3" max="3" style="8" width="25.14785714285714" customWidth="1" bestFit="1"/>
    <col min="4" max="4" style="8" width="25.14785714285714" customWidth="1" bestFit="1"/>
    <col min="5" max="5" style="8" width="13.576428571428572" customWidth="1" bestFit="1" hidden="1"/>
    <col min="6" max="6" style="8" width="13.576428571428572" customWidth="1" bestFit="1" hidden="1"/>
    <col min="7" max="7" style="8" width="25.14785714285714" customWidth="1" bestFit="1"/>
    <col min="8" max="8" style="8" width="13.576428571428572" customWidth="1" bestFit="1" hidden="1"/>
    <col min="9" max="9" style="8" width="25.14785714285714" customWidth="1" bestFit="1"/>
    <col min="10" max="10" style="8" width="25.14785714285714" customWidth="1" bestFit="1"/>
    <col min="11" max="11" style="8" width="13.576428571428572" customWidth="1" bestFit="1" hidden="1"/>
    <col min="12" max="12" style="8" width="13.576428571428572" customWidth="1" bestFit="1" hidden="1"/>
    <col min="13" max="13" style="8" width="25.14785714285714" customWidth="1" bestFit="1"/>
    <col min="14" max="14" style="8" width="25.14785714285714" customWidth="1" bestFit="1"/>
    <col min="15" max="15" style="8" width="25.14785714285714" customWidth="1" bestFit="1"/>
    <col min="16" max="16" style="8" width="25.14785714285714" customWidth="1" bestFit="1"/>
    <col min="17" max="17" style="8" width="25.14785714285714" customWidth="1" bestFit="1"/>
    <col min="18" max="18" style="8" width="25.14785714285714" customWidth="1" bestFit="1"/>
    <col min="19" max="19" style="8" width="25.14785714285714" customWidth="1" bestFit="1"/>
    <col min="20" max="20" style="8" width="25.14785714285714" customWidth="1" bestFit="1"/>
    <col min="21" max="21" style="8" width="25.14785714285714" customWidth="1" bestFit="1"/>
    <col min="22" max="22" style="8" width="25.14785714285714" customWidth="1" bestFit="1"/>
    <col min="23" max="23" style="8" width="25.14785714285714" customWidth="1" bestFit="1"/>
    <col min="24" max="24" style="8" width="13.576428571428572" customWidth="1" bestFit="1" hidden="1"/>
    <col min="25" max="25" style="8" width="13.576428571428572" customWidth="1" bestFit="1" hidden="1"/>
    <col min="26" max="26" style="8" width="25.14785714285714" customWidth="1" bestFit="1"/>
    <col min="27" max="27" style="8" width="25.14785714285714" customWidth="1" bestFit="1"/>
    <col min="28" max="28" style="8" width="25.14785714285714" customWidth="1" bestFit="1"/>
    <col min="29" max="29" style="8" width="25.14785714285714" customWidth="1" bestFit="1"/>
    <col min="30" max="30" style="8" width="25.14785714285714" customWidth="1" bestFit="1"/>
    <col min="31" max="31" style="8" width="25.14785714285714" customWidth="1" bestFit="1"/>
    <col min="32" max="32" style="8" width="25.14785714285714" customWidth="1" bestFit="1"/>
    <col min="33" max="33" style="8" width="25.14785714285714" customWidth="1" bestFit="1"/>
    <col min="34" max="34" style="8" width="25.14785714285714" customWidth="1" bestFit="1"/>
    <col min="35" max="35" style="8" width="25.14785714285714" customWidth="1" bestFit="1"/>
    <col min="36" max="36" style="8" width="25.14785714285714" customWidth="1" bestFit="1"/>
    <col min="37" max="37" style="8" width="25.14785714285714" customWidth="1" bestFit="1"/>
    <col min="38" max="38" style="8" width="25.14785714285714" customWidth="1" bestFit="1"/>
  </cols>
  <sheetData>
    <row x14ac:dyDescent="0.25" r="1" customHeight="1" ht="21">
      <c r="A1" s="1">
        <f>HYPERLINK("https://support.google.com/merchants/answer/6324405", "id")</f>
      </c>
      <c r="B1" s="1">
        <f>HYPERLINK("https://support.google.com/merchants/answer/6324415", "title")</f>
      </c>
      <c r="C1" s="1">
        <f>HYPERLINK("https://support.google.com/merchants/answer/6324468", "description")</f>
      </c>
      <c r="D1" s="1">
        <f>HYPERLINK("https://support.google.com/merchants/answer/6324448", "availability")</f>
      </c>
      <c r="E1" s="1">
        <f>HYPERLINK("https://support.google.com/merchants/answer/6324470", "availability date")</f>
      </c>
      <c r="F1" s="1">
        <f>HYPERLINK("https://support.google.com/merchants/answer/6324499", "expiration date")</f>
      </c>
      <c r="G1" s="1">
        <f>HYPERLINK("https://support.google.com/merchants/answer/6324416", "link")</f>
      </c>
      <c r="H1" s="1">
        <f>HYPERLINK("https://support.google.com/merchants/answer/6324459", "mobile link")</f>
      </c>
      <c r="I1" s="1">
        <f>HYPERLINK("https://support.google.com/merchants/answer/6324350", "image link")</f>
      </c>
      <c r="J1" s="1">
        <f>HYPERLINK("https://support.google.com/merchants/answer/6324371", "price")</f>
      </c>
      <c r="K1" s="1">
        <f>HYPERLINK("https://support.google.com/merchants/answer/6324471", "sale price")</f>
      </c>
      <c r="L1" s="1">
        <f>HYPERLINK("https://support.google.com/merchants/answer/6324460?hl=en&amp;ref_topic=6324338", "sale price effective date")</f>
      </c>
      <c r="M1" s="1">
        <f>HYPERLINK("https://support.google.com/merchants/answer/6324478", "identifier exists")</f>
      </c>
      <c r="N1" s="1">
        <f>HYPERLINK("https://support.google.com/merchants/answer/6324461", "gtin")</f>
      </c>
      <c r="O1" s="1">
        <f>HYPERLINK("https://support.google.com/merchants/answer/6324482", "mpn")</f>
      </c>
      <c r="P1" s="2" t="s">
        <v>0</v>
      </c>
      <c r="Q1" s="1">
        <f>HYPERLINK("https://support.google.com/merchants/answer/9216100", "product highlight")</f>
      </c>
      <c r="R1" s="1">
        <f>HYPERLINK("https://support.google.com/merchants/answer/9218260", "product detail")</f>
      </c>
      <c r="S1" s="1">
        <f>HYPERLINK("https://support.google.com/merchants/answer/6324370", "additional image link")</f>
      </c>
      <c r="T1" s="1">
        <f>HYPERLINK("https://support.google.com/merchants/answer/6324469", "condition")</f>
      </c>
      <c r="U1" s="1">
        <f>HYPERLINK("https://support.google.com/merchants/answer/6324508", "adult")</f>
      </c>
      <c r="V1" s="1">
        <f>HYPERLINK("https://support.google.com/merchants/answer/6324487", "color")</f>
      </c>
      <c r="W1" s="1">
        <f>HYPERLINK("https://support.google.com/merchants/answer/6324492", "size")</f>
      </c>
      <c r="X1" s="1">
        <f>HYPERLINK("https://support.google.com/merchants/answer/63244972", "size type")</f>
      </c>
      <c r="Y1" s="1">
        <f>HYPERLINK("https://support.google.com/merchants/answer/6324502", "size system")</f>
      </c>
      <c r="Z1" s="1">
        <f>HYPERLINK("https://support.google.com/merchants/answer/6324479", "gender")</f>
      </c>
      <c r="AA1" s="1">
        <f>HYPERLINK("https://support.google.com/merchants/answer/6324410", "material")</f>
      </c>
      <c r="AB1" s="1">
        <f>HYPERLINK("https://support.google.com/merchants/answer/6324483", "pattern")</f>
      </c>
      <c r="AC1" s="1">
        <f>HYPERLINK("https://support.google.com/merchants/answer/6324463", "age group")</f>
      </c>
      <c r="AD1" s="1">
        <f>HYPERLINK("https://support.google.com/merchants/answer/6324488", "multipack")</f>
      </c>
      <c r="AE1" s="1">
        <f>HYPERLINK("https://support.google.com/merchants/answer/6324449", "is bundle")</f>
      </c>
      <c r="AF1" s="1">
        <f>HYPERLINK("https://support.google.com/merchants/answer/6324455", "unit pricing measure")</f>
      </c>
      <c r="AG1" s="1">
        <f>HYPERLINK("https://support.google.com/merchants/answer/6324490", "unit pricing base measure")</f>
      </c>
      <c r="AH1" s="1">
        <f>HYPERLINK("https://support.google.com/merchants/answer/7562785", "energy efficiency class")</f>
      </c>
      <c r="AI1" s="1">
        <f>HYPERLINK("https://support.google.com/merchants/answer/7562785", "min energy efficiency class")</f>
      </c>
      <c r="AJ1" s="1">
        <f>HYPERLINK("https://support.google.com/merchants/answer/7562785", "min energy efficiency class")</f>
      </c>
      <c r="AK1" s="1">
        <f>HYPERLINK("https://support.google.com/merchants/answer/6324507", "item group id")</f>
      </c>
      <c r="AL1" s="1">
        <f>HYPERLINK("https://support.google.com/merchants/answer/9451716", "sell on google quantity")</f>
      </c>
    </row>
    <row x14ac:dyDescent="0.25" r="2" customHeight="1" ht="185.25" customFormat="1" s="3">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row>
    <row x14ac:dyDescent="0.25" r="3" customHeight="1" ht="90" customFormat="1" s="3">
      <c r="A3" s="5" t="s">
        <v>39</v>
      </c>
      <c r="B3" s="5" t="s">
        <v>40</v>
      </c>
      <c r="C3" s="5" t="s">
        <v>41</v>
      </c>
      <c r="D3" s="5" t="s">
        <v>42</v>
      </c>
      <c r="E3" s="5"/>
      <c r="F3" s="5"/>
      <c r="G3" s="5" t="s">
        <v>43</v>
      </c>
      <c r="H3" s="5"/>
      <c r="I3" s="5" t="s">
        <v>44</v>
      </c>
      <c r="J3" s="5" t="s">
        <v>45</v>
      </c>
      <c r="K3" s="5"/>
      <c r="L3" s="5"/>
      <c r="M3" s="5" t="s">
        <v>46</v>
      </c>
      <c r="N3" s="5"/>
      <c r="O3" s="5"/>
      <c r="P3" s="5"/>
      <c r="Q3" s="5" t="s">
        <v>47</v>
      </c>
      <c r="R3" s="5" t="s">
        <v>48</v>
      </c>
      <c r="S3" s="5" t="s">
        <v>49</v>
      </c>
      <c r="T3" s="5" t="s">
        <v>50</v>
      </c>
      <c r="U3" s="5" t="s">
        <v>46</v>
      </c>
      <c r="V3" s="5" t="s">
        <v>51</v>
      </c>
      <c r="W3" s="5" t="s">
        <v>52</v>
      </c>
      <c r="X3" s="5"/>
      <c r="Y3" s="5"/>
      <c r="Z3" s="5" t="s">
        <v>53</v>
      </c>
      <c r="AA3" s="5" t="s">
        <v>54</v>
      </c>
      <c r="AB3" s="5" t="s">
        <v>55</v>
      </c>
      <c r="AC3" s="5" t="s">
        <v>56</v>
      </c>
      <c r="AD3" s="5"/>
      <c r="AE3" s="5"/>
      <c r="AF3" s="5"/>
      <c r="AG3" s="5"/>
      <c r="AH3" s="5"/>
      <c r="AI3" s="5"/>
      <c r="AJ3" s="5"/>
      <c r="AK3" s="5"/>
      <c r="AL3" s="5"/>
    </row>
    <row x14ac:dyDescent="0.25" r="4" customHeight="1" ht="153.75" customFormat="1" s="3">
      <c r="A4" s="5" t="s">
        <v>57</v>
      </c>
      <c r="B4" s="5" t="s">
        <v>58</v>
      </c>
      <c r="C4" s="5" t="s">
        <v>59</v>
      </c>
      <c r="D4" s="5" t="s">
        <v>42</v>
      </c>
      <c r="E4" s="5"/>
      <c r="F4" s="5"/>
      <c r="G4" s="5" t="s">
        <v>43</v>
      </c>
      <c r="H4" s="5"/>
      <c r="I4" s="5" t="s">
        <v>60</v>
      </c>
      <c r="J4" s="5" t="s">
        <v>61</v>
      </c>
      <c r="K4" s="5"/>
      <c r="L4" s="5"/>
      <c r="M4" s="5" t="s">
        <v>62</v>
      </c>
      <c r="N4" s="5" t="s">
        <v>63</v>
      </c>
      <c r="O4" s="5" t="s">
        <v>64</v>
      </c>
      <c r="P4" s="5" t="s">
        <v>64</v>
      </c>
      <c r="Q4" s="5" t="s">
        <v>65</v>
      </c>
      <c r="R4" s="5" t="s">
        <v>66</v>
      </c>
      <c r="S4" s="5" t="s">
        <v>49</v>
      </c>
      <c r="T4" s="5" t="s">
        <v>50</v>
      </c>
      <c r="U4" s="5" t="s">
        <v>46</v>
      </c>
      <c r="V4" s="5" t="s">
        <v>67</v>
      </c>
      <c r="W4" s="5" t="s">
        <v>68</v>
      </c>
      <c r="X4" s="5"/>
      <c r="Y4" s="5"/>
      <c r="Z4" s="5"/>
      <c r="AA4" s="5"/>
      <c r="AB4" s="5"/>
      <c r="AC4" s="5"/>
      <c r="AD4" s="5" t="s">
        <v>69</v>
      </c>
      <c r="AE4" s="5"/>
      <c r="AF4" s="5" t="s">
        <v>70</v>
      </c>
      <c r="AG4" s="5" t="s">
        <v>71</v>
      </c>
      <c r="AH4" s="5"/>
      <c r="AI4" s="5"/>
      <c r="AJ4" s="5"/>
      <c r="AK4" s="5"/>
      <c r="AL4" s="5"/>
    </row>
    <row x14ac:dyDescent="0.25" r="5" customHeight="1" ht="18.75">
      <c r="A5" s="6" t="s">
        <v>72</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row>
    <row x14ac:dyDescent="0.25" r="6" customHeight="1" ht="18.7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x14ac:dyDescent="0.25" r="7" customHeight="1" ht="18.7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row>
    <row x14ac:dyDescent="0.25" r="8" customHeight="1" ht="18.7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row>
    <row x14ac:dyDescent="0.25" r="9" customHeight="1" ht="18.7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row>
    <row x14ac:dyDescent="0.25" r="10" customHeight="1" ht="18.7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row>
    <row x14ac:dyDescent="0.25" r="11" customHeight="1" ht="18.7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row>
    <row x14ac:dyDescent="0.25" r="12" customHeight="1" ht="18.7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row>
    <row x14ac:dyDescent="0.25" r="13" customHeight="1" ht="18.7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row>
    <row x14ac:dyDescent="0.25" r="14" customHeight="1" ht="18.7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row>
    <row x14ac:dyDescent="0.25" r="15" customHeight="1" ht="18.7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row>
    <row x14ac:dyDescent="0.25" r="16" customHeight="1" ht="18.7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row>
    <row x14ac:dyDescent="0.25" r="17" customHeight="1" ht="18.7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x14ac:dyDescent="0.25" r="18" customHeight="1" ht="18.7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x14ac:dyDescent="0.25" r="19" customHeight="1" ht="18.7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x14ac:dyDescent="0.25" r="20" customHeight="1" ht="18.7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x14ac:dyDescent="0.25" r="21" customHeight="1" ht="18.7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x14ac:dyDescent="0.25" r="22" customHeight="1" ht="18.7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x14ac:dyDescent="0.25" r="23" customHeight="1" ht="18.7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x14ac:dyDescent="0.25" r="24" customHeight="1" ht="18.7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x14ac:dyDescent="0.25" r="25" customHeight="1" ht="18.7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x14ac:dyDescent="0.25" r="26" customHeight="1" ht="18.7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x14ac:dyDescent="0.25" r="27" customHeight="1" ht="18.7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x14ac:dyDescent="0.25" r="28" customHeight="1" ht="18.7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row>
    <row x14ac:dyDescent="0.25" r="29" customHeight="1" ht="18.7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x14ac:dyDescent="0.25" r="30" customHeight="1" ht="18.7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row>
    <row x14ac:dyDescent="0.25" r="31" customHeight="1" ht="18.7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row>
    <row x14ac:dyDescent="0.25" r="32" customHeight="1" ht="18.7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row>
    <row x14ac:dyDescent="0.25" r="33" customHeight="1" ht="18.7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row>
    <row x14ac:dyDescent="0.25" r="34" customHeight="1" ht="18.7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row>
    <row x14ac:dyDescent="0.25" r="35" customHeight="1" ht="18.7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row>
    <row x14ac:dyDescent="0.25" r="36" customHeight="1" ht="18.7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row>
    <row x14ac:dyDescent="0.25" r="37" customHeight="1" ht="18.7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x14ac:dyDescent="0.25" r="38" customHeight="1" ht="18.7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x14ac:dyDescent="0.25" r="39" customHeight="1" ht="18.7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x14ac:dyDescent="0.25" r="40" customHeight="1" ht="18.7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x14ac:dyDescent="0.25" r="41" customHeight="1" ht="18.7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row>
    <row x14ac:dyDescent="0.25" r="42" customHeight="1" ht="18.7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row>
    <row x14ac:dyDescent="0.25" r="43" customHeight="1" ht="18.7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row>
    <row x14ac:dyDescent="0.25" r="44" customHeight="1" ht="18.7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row>
    <row x14ac:dyDescent="0.25" r="45" customHeight="1" ht="18.7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row>
    <row x14ac:dyDescent="0.25" r="46" customHeight="1" ht="18.7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row>
    <row x14ac:dyDescent="0.25" r="47" customHeight="1" ht="18.7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row>
    <row x14ac:dyDescent="0.25" r="48" customHeight="1" ht="18.7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row>
    <row x14ac:dyDescent="0.25" r="49" customHeight="1" ht="18.7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row>
    <row x14ac:dyDescent="0.25" r="50" customHeight="1" ht="18.7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row>
    <row x14ac:dyDescent="0.25" r="51" customHeight="1" ht="18.7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row>
    <row x14ac:dyDescent="0.25" r="52" customHeight="1" ht="18.7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row>
    <row x14ac:dyDescent="0.25" r="53" customHeight="1" ht="18.7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row>
    <row x14ac:dyDescent="0.25" r="54" customHeight="1" ht="18.7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row>
    <row x14ac:dyDescent="0.25" r="55" customHeight="1" ht="18.7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2025-08-23T09:01:01.990Z</dcterms:created>
  <dcterms:modified xsi:type="dcterms:W3CDTF">2025-08-23T09:01:01.990Z</dcterms:modified>
</cp:coreProperties>
</file>